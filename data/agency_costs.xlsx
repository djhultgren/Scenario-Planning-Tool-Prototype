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vethechildren1.sharepoint.com/sites/centre/MG/Shared Documents/03. Knowledge sharing &amp; market intel/48. LTV Analysis/Data files/"/>
    </mc:Choice>
  </mc:AlternateContent>
  <xr:revisionPtr revIDLastSave="12" documentId="8_{10FEEF53-ECD3-46DA-AB5C-E5F906A38265}" xr6:coauthVersionLast="47" xr6:coauthVersionMax="47" xr10:uidLastSave="{C2A49FC5-D438-4A5D-A23E-B3731597760C}"/>
  <bookViews>
    <workbookView xWindow="-110" yWindow="-110" windowWidth="19420" windowHeight="10300" xr2:uid="{9E4A18A5-EA64-4E34-85F2-9BB8E3E8E8E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<sst xmlns="http://schemas.openxmlformats.org/spreadsheetml/2006/main" count="73" uniqueCount="73">
  <si>
    <t>Partner</t>
  </si>
  <si>
    <t>Age</t>
  </si>
  <si>
    <t>Cost EUR</t>
  </si>
  <si>
    <t>Realized Donors</t>
  </si>
  <si>
    <t>Actual Revenue EUR</t>
  </si>
  <si>
    <t>Avg Annual Value</t>
  </si>
  <si>
    <t>Actual ROI</t>
  </si>
  <si>
    <t>CPSU</t>
  </si>
  <si>
    <t>CPA</t>
  </si>
  <si>
    <t>Trust</t>
  </si>
  <si>
    <t>79,38%</t>
  </si>
  <si>
    <t>192.173,50 €</t>
  </si>
  <si>
    <t>160,38 €</t>
  </si>
  <si>
    <t>17,32%</t>
  </si>
  <si>
    <t>-82,68%</t>
  </si>
  <si>
    <t>211,89 €</t>
  </si>
  <si>
    <t>266,92 €</t>
  </si>
  <si>
    <t>15,85 €</t>
  </si>
  <si>
    <t>19,97 €</t>
  </si>
  <si>
    <t>Apollon</t>
  </si>
  <si>
    <t>71,98%</t>
  </si>
  <si>
    <t>100.674,41 €</t>
  </si>
  <si>
    <t>185,69 €</t>
  </si>
  <si>
    <t>15,62%</t>
  </si>
  <si>
    <t>-84,38%</t>
  </si>
  <si>
    <t>267,49 €</t>
  </si>
  <si>
    <t>371,61 €</t>
  </si>
  <si>
    <t>17,29 €</t>
  </si>
  <si>
    <t>24,01 €</t>
  </si>
  <si>
    <t>Activate</t>
  </si>
  <si>
    <t>78,14%</t>
  </si>
  <si>
    <t>55.570,55 €</t>
  </si>
  <si>
    <t>172,40 €</t>
  </si>
  <si>
    <t>13,87%</t>
  </si>
  <si>
    <t>-86,13%</t>
  </si>
  <si>
    <t>234,13 €</t>
  </si>
  <si>
    <t>299,63 €</t>
  </si>
  <si>
    <t>16,30 €</t>
  </si>
  <si>
    <t>20,86 €</t>
  </si>
  <si>
    <t>Direct Result</t>
  </si>
  <si>
    <t>79,47%</t>
  </si>
  <si>
    <t>36.550,24 €</t>
  </si>
  <si>
    <t>190,98 €</t>
  </si>
  <si>
    <t>11,25%</t>
  </si>
  <si>
    <t>-88,75%</t>
  </si>
  <si>
    <t>262,60 €</t>
  </si>
  <si>
    <t>330,45 €</t>
  </si>
  <si>
    <t>16,50 €</t>
  </si>
  <si>
    <t>20,76 €</t>
  </si>
  <si>
    <t>Wesser</t>
  </si>
  <si>
    <t>74,65%</t>
  </si>
  <si>
    <t>93.361,00 €</t>
  </si>
  <si>
    <t>94,44 €</t>
  </si>
  <si>
    <t>32,35%</t>
  </si>
  <si>
    <t>-67,65%</t>
  </si>
  <si>
    <t>174,18 €</t>
  </si>
  <si>
    <t>233,33 €</t>
  </si>
  <si>
    <t>22,13 €</t>
  </si>
  <si>
    <t>29,65 €</t>
  </si>
  <si>
    <t>77,12%</t>
  </si>
  <si>
    <t>478.329,70 €</t>
  </si>
  <si>
    <t>161,21 €</t>
  </si>
  <si>
    <t>17,28%</t>
  </si>
  <si>
    <t>-82,72%</t>
  </si>
  <si>
    <t>17,11 €</t>
  </si>
  <si>
    <t>22,28 €</t>
  </si>
  <si>
    <t>Year</t>
  </si>
  <si>
    <t>Sign-Ups</t>
  </si>
  <si>
    <t>Realization %</t>
  </si>
  <si>
    <t>Actual Cashback </t>
  </si>
  <si>
    <t>Actual CPSU factor</t>
  </si>
  <si>
    <t>Actual CPA factor</t>
  </si>
  <si>
    <t>Total/Avg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</si>
</sst>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3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right" vertical="center" readingOrder="1"/>
    </xf>
    <xf numFmtId="0" fontId="2" fillId="2" borderId="1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righ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164" fontId="1" fillId="2" borderId="1" xfId="0" applyNumberFormat="1" applyFont="1" applyFill="1" applyBorder="1" applyAlignment="1">
      <alignment horizontal="right" vertical="center" readingOrder="1"/>
    </xf>
    <xf numFmtId="164" fontId="2" fillId="2" borderId="1" xfId="0" applyNumberFormat="1" applyFont="1" applyFill="1" applyBorder="1" applyAlignment="1">
      <alignment horizontal="right" vertical="center" readingOrder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7AD1-8408-4364-9C27-BCE6E1FA46D6}">
  <dimension ref="A1:O12"/>
  <sheetViews>
    <sheetView tabSelected="1" topLeftCell="E1" workbookViewId="0">
      <selection activeCell="K10" sqref="K10"/>
    </sheetView>
  </sheetViews>
  <sheetFormatPr defaultRowHeight="14.5"/>
  <cols>
    <col min="1" max="1" width="12" customWidth="1"/>
    <col min="3" max="3" width="10.26953125" customWidth="1"/>
    <col min="4" max="4" width="22.54296875" customWidth="1"/>
    <col min="5" max="5" width="8.7265625" customWidth="1"/>
    <col min="6" max="6" width="25.6328125" customWidth="1"/>
    <col min="7" max="7" width="13.08984375" customWidth="1"/>
    <col min="8" max="8" width="20.6328125" customWidth="1"/>
    <col min="9" max="9" width="12.453125" customWidth="1"/>
    <col min="10" max="10" width="18.26953125" customWidth="1"/>
    <col min="11" max="11" width="16" customWidth="1"/>
    <col min="12" max="13" width="8.7265625" customWidth="1"/>
    <col min="14" max="14" width="15.54296875" customWidth="1"/>
    <col min="15" max="15" width="16.453125" customWidth="1"/>
  </cols>
  <sheetData>
    <row r="1" spans="1:15" ht="15.5">
      <c r="A1" s="5" t="s">
        <v>0</v>
      </c>
      <c r="B1" s="5" t="s">
        <v>66</v>
      </c>
      <c r="C1" s="5" t="s">
        <v>1</v>
      </c>
      <c r="D1" s="5" t="s">
        <v>2</v>
      </c>
      <c r="E1" s="5" t="s">
        <v>67</v>
      </c>
      <c r="F1" s="5" t="s">
        <v>3</v>
      </c>
      <c r="G1" s="5" t="s">
        <v>68</v>
      </c>
      <c r="H1" s="5" t="s">
        <v>4</v>
      </c>
      <c r="I1" s="5" t="s">
        <v>5</v>
      </c>
      <c r="J1" s="5" t="s">
        <v>69</v>
      </c>
      <c r="K1" s="5" t="s">
        <v>6</v>
      </c>
      <c r="L1" s="5" t="s">
        <v>7</v>
      </c>
      <c r="M1" s="5" t="s">
        <v>8</v>
      </c>
      <c r="N1" s="5" t="s">
        <v>70</v>
      </c>
      <c r="O1" s="5" t="s">
        <v>71</v>
      </c>
    </row>
    <row r="2" spans="1:15" ht="16">
      <c r="A2" s="1" t="s">
        <v>9</v>
      </c>
      <c r="B2" s="2">
        <v>2026</v>
      </c>
      <c r="C2" s="2">
        <v>46</v>
      </c>
      <c r="D2" s="7">
        <v>1109862.6299999999</v>
      </c>
      <c r="E2" s="2">
        <v>5238</v>
      </c>
      <c r="F2" s="2">
        <v>4158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</row>
    <row r="3" spans="1:15" ht="16">
      <c r="A3" s="3" t="s">
        <v>19</v>
      </c>
      <c r="B3" s="4">
        <v>2026</v>
      </c>
      <c r="C3" s="4">
        <v>36</v>
      </c>
      <c r="D3" s="8">
        <v>644379.82999999996</v>
      </c>
      <c r="E3" s="4">
        <v>2409</v>
      </c>
      <c r="F3" s="4">
        <v>1734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</row>
    <row r="4" spans="1:15" ht="16">
      <c r="A4" s="1" t="s">
        <v>29</v>
      </c>
      <c r="B4" s="2">
        <v>2026</v>
      </c>
      <c r="C4" s="2">
        <v>46</v>
      </c>
      <c r="D4" s="7">
        <v>400602.31</v>
      </c>
      <c r="E4" s="2">
        <v>1711</v>
      </c>
      <c r="F4" s="2">
        <v>1337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</row>
    <row r="5" spans="1:15" ht="17" customHeight="1">
      <c r="A5" s="1" t="s">
        <v>49</v>
      </c>
      <c r="B5" s="2">
        <v>2026</v>
      </c>
      <c r="C5" s="2">
        <v>37</v>
      </c>
      <c r="D5" s="7">
        <v>288623.15999999997</v>
      </c>
      <c r="E5" s="2">
        <v>1657</v>
      </c>
      <c r="F5" s="2">
        <v>1237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57</v>
      </c>
      <c r="O5" s="2" t="s">
        <v>58</v>
      </c>
    </row>
    <row r="6" spans="1:15" ht="17" customHeight="1">
      <c r="A6" s="3" t="s">
        <v>39</v>
      </c>
      <c r="B6" s="4">
        <v>2026</v>
      </c>
      <c r="C6" s="4">
        <v>48</v>
      </c>
      <c r="D6" s="8">
        <v>324835.71000000002</v>
      </c>
      <c r="E6" s="4">
        <v>1237</v>
      </c>
      <c r="F6" s="4">
        <v>983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44</v>
      </c>
      <c r="L6" s="4" t="s">
        <v>45</v>
      </c>
      <c r="M6" s="4" t="s">
        <v>46</v>
      </c>
      <c r="N6" s="4" t="s">
        <v>47</v>
      </c>
      <c r="O6" s="4" t="s">
        <v>48</v>
      </c>
    </row>
    <row r="7" spans="1:15" ht="15.5">
      <c r="A7" s="5" t="s">
        <v>72</v>
      </c>
      <c r="B7" s="5"/>
      <c r="C7" s="6">
        <v>43</v>
      </c>
      <c r="D7" s="9">
        <v>2768303.64</v>
      </c>
      <c r="E7" s="6">
        <v>12252</v>
      </c>
      <c r="F7" s="6">
        <v>9449</v>
      </c>
      <c r="G7" s="6" t="s">
        <v>59</v>
      </c>
      <c r="H7" s="6" t="s">
        <v>60</v>
      </c>
      <c r="I7" s="6" t="s">
        <v>61</v>
      </c>
      <c r="J7" s="6" t="s">
        <v>62</v>
      </c>
      <c r="K7" s="6" t="s">
        <v>63</v>
      </c>
      <c r="L7" s="5"/>
      <c r="M7" s="5"/>
      <c r="N7" s="6" t="s">
        <v>64</v>
      </c>
      <c r="O7" s="6" t="s">
        <v>65</v>
      </c>
    </row>
    <row r="8" spans="1:15">
      <c r="D8" s="10"/>
    </row>
    <row r="10" spans="1:15">
      <c r="E10">
        <v>11015</v>
      </c>
    </row>
    <row r="11" spans="1:15">
      <c r="E11">
        <v>6949</v>
      </c>
    </row>
    <row r="12" spans="1:15">
      <c r="E12">
        <f>E11/E10</f>
        <v>0.6308669995460735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41A62D951044ABF2EFB806149A722" ma:contentTypeVersion="23" ma:contentTypeDescription="Create a new document." ma:contentTypeScope="" ma:versionID="6b1016c60a94ac8e81560f7d87b8b365">
  <xsd:schema xmlns:xsd="http://www.w3.org/2001/XMLSchema" xmlns:xs="http://www.w3.org/2001/XMLSchema" xmlns:p="http://schemas.microsoft.com/office/2006/metadata/properties" xmlns:ns1="http://schemas.microsoft.com/sharepoint/v3" xmlns:ns2="c0445bab-2921-4fc9-8412-40f231043fe5" xmlns:ns3="7e97afc9-f394-4b90-b068-9bd95db606c8" xmlns:ns4="b1a25d56-6f3d-4cf9-8f75-af00573b6dbd" targetNamespace="http://schemas.microsoft.com/office/2006/metadata/properties" ma:root="true" ma:fieldsID="4fc53bf3b6c354b0e1439603ee8b98a6" ns1:_="" ns2:_="" ns3:_="" ns4:_="">
    <xsd:import namespace="http://schemas.microsoft.com/sharepoint/v3"/>
    <xsd:import namespace="c0445bab-2921-4fc9-8412-40f231043fe5"/>
    <xsd:import namespace="7e97afc9-f394-4b90-b068-9bd95db606c8"/>
    <xsd:import namespace="b1a25d56-6f3d-4cf9-8f75-af00573b6d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odified_x0020_by0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445bab-2921-4fc9-8412-40f231043f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7afc9-f394-4b90-b068-9bd95db606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odified_x0020_by0" ma:index="23" nillable="true" ma:displayName="Modified by" ma:list="UserInfo" ma:SharePointGroup="0" ma:internalName="Modified_x0020_by0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b23ec234-cbf3-4cc2-a0ae-2bfafc310c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25d56-6f3d-4cf9-8f75-af00573b6dbd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b0d24f53-3ca1-4280-97de-90a109c9d585}" ma:internalName="TaxCatchAll" ma:showField="CatchAllData" ma:web="c0445bab-2921-4fc9-8412-40f231043f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7afc9-f394-4b90-b068-9bd95db606c8">
      <Terms xmlns="http://schemas.microsoft.com/office/infopath/2007/PartnerControls"/>
    </lcf76f155ced4ddcb4097134ff3c332f>
    <TaxCatchAll xmlns="b1a25d56-6f3d-4cf9-8f75-af00573b6dbd" xsi:nil="true"/>
    <Modified_x0020_by0 xmlns="7e97afc9-f394-4b90-b068-9bd95db606c8">
      <UserInfo>
        <DisplayName/>
        <AccountId xsi:nil="true"/>
        <AccountType/>
      </UserInfo>
    </Modified_x0020_by0>
  </documentManagement>
</p:properties>
</file>

<file path=customXml/itemProps1.xml><?xml version="1.0" encoding="utf-8"?>
<ds:datastoreItem xmlns:ds="http://schemas.openxmlformats.org/officeDocument/2006/customXml" ds:itemID="{3AB6A024-A0A7-4068-A013-5E29548866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3FFC51-675D-4C6D-915F-6453D639C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0445bab-2921-4fc9-8412-40f231043fe5"/>
    <ds:schemaRef ds:uri="7e97afc9-f394-4b90-b068-9bd95db606c8"/>
    <ds:schemaRef ds:uri="b1a25d56-6f3d-4cf9-8f75-af00573b6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8DF6FC-E8AE-4907-8E4E-6B1375844E2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e97afc9-f394-4b90-b068-9bd95db606c8"/>
    <ds:schemaRef ds:uri="b1a25d56-6f3d-4cf9-8f75-af00573b6dbd"/>
  </ds:schemaRefs>
</ds:datastoreItem>
</file>

<file path=docMetadata/LabelInfo.xml><?xml version="1.0" encoding="utf-8"?>
<clbl:labelList xmlns:clbl="http://schemas.microsoft.com/office/2020/mipLabelMetadata">
  <clbl:label id="{37ef3d19-1651-4452-b761-dc2414bf0416}" enabled="0" method="" siteId="{37ef3d19-1651-4452-b761-dc2414bf04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Neville, Sarah</dc:creator>
  <cp:lastModifiedBy>Neville, Sarah</cp:lastModifiedBy>
  <dcterms:created xsi:type="dcterms:W3CDTF">2026-07-28T12:08:03Z</dcterms:created>
  <dcterms:modified xsi:type="dcterms:W3CDTF">2026-08-27T12:22:10Z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0x01010091541A62D951044ABF2EFB806149A722</vt:lpwstr>
  </property>
  <property fmtid="{D5CDD505-2E9C-101B-9397-08002B2CF9AE}" pid="3" name="MediaServiceImageTags">
    <vt:lpwstr/>
  </property>
</Properties>
</file>